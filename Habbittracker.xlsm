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science\"/>
    </mc:Choice>
  </mc:AlternateContent>
  <xr:revisionPtr revIDLastSave="0" documentId="13_ncr:1_{A6743B49-65B9-4BF6-862C-74E72207CBC2}" xr6:coauthVersionLast="47" xr6:coauthVersionMax="47" xr10:uidLastSave="{00000000-0000-0000-0000-000000000000}"/>
  <bookViews>
    <workbookView xWindow="-108" yWindow="-108" windowWidth="23256" windowHeight="13176" xr2:uid="{D1BA2F22-F0B5-4ACB-B420-878569EAA219}"/>
  </bookViews>
  <sheets>
    <sheet name="JUL" sheetId="2" r:id="rId1"/>
  </sheets>
  <functionGroups builtInGroupCount="19"/>
  <definedNames>
    <definedName name="_xlchart.v1.0" hidden="1">JUL!$B$30</definedName>
    <definedName name="_xlchart.v1.1" hidden="1">JUL!$C$30:$L$30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7" i="2" l="1"/>
  <c r="A22" i="2"/>
  <c r="A25" i="2" s="1"/>
  <c r="A19" i="2"/>
  <c r="A16" i="2"/>
  <c r="D32" i="2"/>
  <c r="E32" i="2"/>
  <c r="F32" i="2"/>
  <c r="G32" i="2"/>
  <c r="H32" i="2"/>
  <c r="I32" i="2"/>
  <c r="J32" i="2"/>
  <c r="K32" i="2"/>
  <c r="L32" i="2"/>
  <c r="C32" i="2"/>
  <c r="D31" i="2"/>
  <c r="E31" i="2"/>
  <c r="F31" i="2"/>
  <c r="G31" i="2"/>
  <c r="H31" i="2"/>
  <c r="I31" i="2"/>
  <c r="J31" i="2"/>
  <c r="K31" i="2"/>
  <c r="L31" i="2"/>
  <c r="C31" i="2"/>
  <c r="C29" i="2"/>
  <c r="D29" i="2"/>
  <c r="E29" i="2"/>
  <c r="F29" i="2"/>
  <c r="G29" i="2"/>
  <c r="H29" i="2"/>
  <c r="I29" i="2"/>
  <c r="J29" i="2"/>
  <c r="K29" i="2"/>
  <c r="L29" i="2"/>
  <c r="O18" i="2" a="1"/>
  <c r="O21" i="2" a="1"/>
  <c r="R20" i="2" l="1"/>
  <c r="O18" i="2"/>
  <c r="O21" i="2"/>
  <c r="C37" i="2"/>
  <c r="C36" i="2"/>
  <c r="C34" i="2"/>
  <c r="C35" i="2"/>
  <c r="M19" i="2"/>
  <c r="N19" i="2" s="1"/>
  <c r="M20" i="2"/>
  <c r="N20" i="2" s="1"/>
  <c r="M21" i="2"/>
  <c r="M22" i="2"/>
  <c r="N22" i="2" s="1"/>
  <c r="M23" i="2"/>
  <c r="N23" i="2" s="1"/>
  <c r="M24" i="2"/>
  <c r="N24" i="2" s="1"/>
  <c r="M25" i="2"/>
  <c r="N25" i="2" s="1"/>
  <c r="M26" i="2"/>
  <c r="N26" i="2" s="1"/>
  <c r="M27" i="2"/>
  <c r="N27" i="2" s="1"/>
  <c r="M18" i="2"/>
  <c r="C17" i="2" a="1"/>
  <c r="C17" i="2" s="1"/>
  <c r="D16" i="2"/>
  <c r="E16" i="2" s="1"/>
  <c r="F16" i="2" s="1"/>
  <c r="G16" i="2" s="1"/>
  <c r="H16" i="2" s="1"/>
  <c r="I16" i="2" s="1"/>
  <c r="J16" i="2" s="1"/>
  <c r="K16" i="2" s="1"/>
  <c r="L16" i="2" s="1"/>
  <c r="D15" i="2"/>
  <c r="E15" i="2" s="1"/>
  <c r="F15" i="2" s="1"/>
  <c r="G15" i="2" s="1"/>
  <c r="H15" i="2" s="1"/>
  <c r="I15" i="2" s="1"/>
  <c r="J15" i="2" s="1"/>
  <c r="K15" i="2" s="1"/>
  <c r="L15" i="2" s="1"/>
  <c r="P24" i="2" a="1"/>
  <c r="O27" i="2" a="1"/>
  <c r="O22" i="2" a="1"/>
  <c r="P25" i="2" a="1"/>
  <c r="O23" i="2" a="1"/>
  <c r="P20" i="2" a="1"/>
  <c r="O24" i="2" a="1"/>
  <c r="P26" i="2" a="1"/>
  <c r="P21" i="2" a="1"/>
  <c r="P27" i="2" a="1"/>
  <c r="P18" i="2" a="1"/>
  <c r="O19" i="2" a="1"/>
  <c r="P22" i="2" a="1"/>
  <c r="O20" i="2" a="1"/>
  <c r="P23" i="2" a="1"/>
  <c r="O26" i="2" a="1"/>
  <c r="P19" i="2" a="1"/>
  <c r="O25" i="2" a="1"/>
  <c r="N18" i="2" l="1"/>
  <c r="N21" i="2"/>
  <c r="P27" i="2"/>
  <c r="P21" i="2"/>
  <c r="P26" i="2"/>
  <c r="P20" i="2"/>
  <c r="P25" i="2"/>
  <c r="P19" i="2"/>
  <c r="P24" i="2"/>
  <c r="P23" i="2"/>
  <c r="P22" i="2"/>
  <c r="P18" i="2"/>
  <c r="O24" i="2"/>
  <c r="O23" i="2"/>
  <c r="O22" i="2"/>
  <c r="O27" i="2"/>
  <c r="O26" i="2"/>
  <c r="O20" i="2"/>
  <c r="O25" i="2"/>
  <c r="O19" i="2"/>
  <c r="A11" i="2"/>
  <c r="A8" i="2"/>
  <c r="C30" i="2"/>
  <c r="E30" i="2"/>
  <c r="J30" i="2"/>
  <c r="L30" i="2"/>
  <c r="G30" i="2"/>
  <c r="D30" i="2"/>
  <c r="K30" i="2"/>
  <c r="I30" i="2"/>
  <c r="H30" i="2"/>
  <c r="F3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<sst xmlns="http://schemas.openxmlformats.org/spreadsheetml/2006/main" count="141" uniqueCount="42">
  <si>
    <t>Workout</t>
  </si>
  <si>
    <t>Placement Practice</t>
  </si>
  <si>
    <t>Journal / Plan Tomorrow</t>
  </si>
  <si>
    <t>total</t>
  </si>
  <si>
    <t>TOTAL %</t>
  </si>
  <si>
    <t>START DATE</t>
  </si>
  <si>
    <t>BEST HABIT</t>
  </si>
  <si>
    <t>Y</t>
  </si>
  <si>
    <t>Current</t>
  </si>
  <si>
    <t>Streak</t>
  </si>
  <si>
    <t>Longest</t>
  </si>
  <si>
    <t xml:space="preserve"> Streak</t>
  </si>
  <si>
    <t>N</t>
  </si>
  <si>
    <t>Habits</t>
  </si>
  <si>
    <t>habits completed</t>
  </si>
  <si>
    <t>habits incomplete</t>
  </si>
  <si>
    <t>Week 1 Incomplete</t>
  </si>
  <si>
    <t>Week 2 Incomplete</t>
  </si>
  <si>
    <t>Week 1 Complete</t>
  </si>
  <si>
    <t>Week 2 Complete</t>
  </si>
  <si>
    <t>Breaking Bad Ep</t>
  </si>
  <si>
    <t>Alkaline Water</t>
  </si>
  <si>
    <t>Wakeup at 6 am</t>
  </si>
  <si>
    <t>Python</t>
  </si>
  <si>
    <t>Sleep 7–8 hrs only</t>
  </si>
  <si>
    <t>Prayer</t>
  </si>
  <si>
    <t>Reading 5 Pages</t>
  </si>
  <si>
    <t>Success Rate-Week 1</t>
  </si>
  <si>
    <t>Success Rate-Week 2</t>
  </si>
  <si>
    <t>Discipline Score</t>
  </si>
  <si>
    <t>Discipline Tier</t>
  </si>
  <si>
    <t>Created By</t>
  </si>
  <si>
    <t>Aditya Salunke</t>
  </si>
  <si>
    <t>Linkedin:</t>
  </si>
  <si>
    <t>Github:</t>
  </si>
  <si>
    <t>July 2026 Habit Tracker (Version 1)</t>
  </si>
  <si>
    <t>Click here</t>
  </si>
  <si>
    <t>Next Milestone</t>
  </si>
  <si>
    <t>Completed</t>
  </si>
  <si>
    <t>Completion %</t>
  </si>
  <si>
    <t>Needs Improvement</t>
  </si>
  <si>
    <t>Perfect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</si>
</sst>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&quot;Day&quot;\ #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B050"/>
      <name val="Arial Black"/>
      <family val="2"/>
    </font>
    <font>
      <sz val="11"/>
      <color rgb="FF00B050"/>
      <name val="Playbill"/>
      <family val="5"/>
    </font>
    <font>
      <sz val="12"/>
      <color theme="1"/>
      <name val="Segoe UI Emoji"/>
      <family val="2"/>
    </font>
    <font>
      <sz val="11"/>
      <color theme="1"/>
      <name val="Aptos"/>
      <family val="2"/>
    </font>
    <font>
      <sz val="18"/>
      <color theme="0"/>
      <name val="Calibri"/>
      <family val="2"/>
      <scheme val="minor"/>
    </font>
    <font>
      <sz val="18"/>
      <color theme="0"/>
      <name val="Cooper Black"/>
      <family val="1"/>
    </font>
    <font>
      <sz val="22"/>
      <color theme="7" tint="0.39997558519241921"/>
      <name val="Sitka Text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4" tint="-0.249977111117893"/>
      <name val="Arial Black"/>
      <family val="2"/>
    </font>
    <font>
      <sz val="12"/>
      <color theme="1"/>
      <name val="Californian FB"/>
      <family val="1"/>
    </font>
    <font>
      <b/>
      <sz val="11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3" fillId="3" borderId="0" xfId="0" applyFont="1" applyFill="1"/>
    <xf numFmtId="0" fontId="0" fillId="5" borderId="0" xfId="0" applyFill="1"/>
    <xf numFmtId="0" fontId="0" fillId="2" borderId="0" xfId="0" applyFill="1"/>
    <xf numFmtId="0" fontId="5" fillId="4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8" borderId="0" xfId="0" applyNumberFormat="1" applyFill="1" applyAlignment="1">
      <alignment horizontal="center"/>
    </xf>
    <xf numFmtId="0" fontId="0" fillId="4" borderId="0" xfId="0" applyFill="1"/>
    <xf numFmtId="0" fontId="6" fillId="4" borderId="0" xfId="0" applyFont="1" applyFill="1"/>
    <xf numFmtId="0" fontId="7" fillId="0" borderId="0" xfId="0" applyFont="1"/>
    <xf numFmtId="0" fontId="0" fillId="4" borderId="0" xfId="0" applyFill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0" fillId="2" borderId="0" xfId="0" applyFont="1" applyFill="1" applyAlignment="1">
      <alignment horizontal="center" vertical="center"/>
    </xf>
    <xf numFmtId="14" fontId="13" fillId="6" borderId="2" xfId="0" applyNumberFormat="1" applyFont="1" applyFill="1" applyBorder="1" applyAlignment="1">
      <alignment horizontal="center"/>
    </xf>
    <xf numFmtId="0" fontId="0" fillId="9" borderId="0" xfId="0" applyFill="1"/>
    <xf numFmtId="0" fontId="4" fillId="4" borderId="0" xfId="0" applyFont="1" applyFill="1" applyBorder="1" applyAlignment="1">
      <alignment horizontal="center" wrapText="1"/>
    </xf>
    <xf numFmtId="0" fontId="15" fillId="4" borderId="0" xfId="0" applyFont="1" applyFill="1" applyBorder="1" applyAlignment="1">
      <alignment horizontal="center" wrapText="1"/>
    </xf>
    <xf numFmtId="0" fontId="16" fillId="9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9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9" fontId="20" fillId="6" borderId="0" xfId="1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1" fillId="9" borderId="0" xfId="0" applyFont="1" applyFill="1"/>
    <xf numFmtId="0" fontId="1" fillId="5" borderId="0" xfId="0" applyFont="1" applyFill="1"/>
    <xf numFmtId="0" fontId="1" fillId="0" borderId="0" xfId="0" applyFont="1"/>
    <xf numFmtId="9" fontId="1" fillId="5" borderId="0" xfId="1" applyFont="1" applyFill="1"/>
    <xf numFmtId="0" fontId="1" fillId="0" borderId="0" xfId="0" applyFont="1"/>
    <xf numFmtId="2" fontId="1" fillId="0" borderId="0" xfId="1" applyNumberFormat="1" applyFont="1"/>
    <xf numFmtId="0" fontId="0" fillId="5" borderId="0" xfId="0" applyFont="1" applyFill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 wrapText="1" indent="2"/>
    </xf>
    <xf numFmtId="0" fontId="0" fillId="0" borderId="0" xfId="0" applyFont="1" applyAlignment="1">
      <alignment horizontal="left" indent="1"/>
    </xf>
    <xf numFmtId="0" fontId="22" fillId="5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2" borderId="0" xfId="0" applyFont="1" applyFill="1" applyAlignment="1">
      <alignment horizontal="left" vertical="center" indent="2"/>
    </xf>
    <xf numFmtId="0" fontId="20" fillId="6" borderId="0" xfId="0" applyFont="1" applyFill="1" applyAlignment="1">
      <alignment horizontal="center" vertical="top" wrapText="1"/>
    </xf>
    <xf numFmtId="0" fontId="19" fillId="2" borderId="0" xfId="0" applyFont="1" applyFill="1" applyAlignment="1">
      <alignment horizontal="left" indent="4"/>
    </xf>
    <xf numFmtId="9" fontId="20" fillId="2" borderId="0" xfId="1" applyFont="1" applyFill="1" applyAlignment="1">
      <alignment horizontal="left" vertical="center" indent="4"/>
    </xf>
    <xf numFmtId="0" fontId="19" fillId="2" borderId="0" xfId="0" applyFont="1" applyFill="1" applyAlignment="1">
      <alignment horizontal="left" indent="5"/>
    </xf>
    <xf numFmtId="0" fontId="19" fillId="2" borderId="0" xfId="0" applyFont="1" applyFill="1" applyAlignment="1">
      <alignment horizontal="left" vertical="center" indent="2"/>
    </xf>
    <xf numFmtId="0" fontId="20" fillId="10" borderId="0" xfId="0" applyFont="1" applyFill="1"/>
    <xf numFmtId="0" fontId="0" fillId="10" borderId="0" xfId="0" applyFill="1"/>
    <xf numFmtId="0" fontId="3" fillId="10" borderId="0" xfId="0" applyFont="1" applyFill="1"/>
    <xf numFmtId="0" fontId="14" fillId="10" borderId="0" xfId="2" applyFill="1"/>
    <xf numFmtId="0" fontId="6" fillId="4" borderId="0" xfId="0" applyNumberFormat="1" applyFont="1" applyFill="1"/>
    <xf numFmtId="0" fontId="18" fillId="2" borderId="0" xfId="0" applyFont="1" applyFill="1" applyAlignment="1">
      <alignment horizontal="left" vertical="center" indent="5"/>
    </xf>
    <xf numFmtId="0" fontId="12" fillId="11" borderId="0" xfId="0" applyFont="1" applyFill="1" applyAlignment="1">
      <alignment horizontal="left" vertical="center" indent="6"/>
    </xf>
    <xf numFmtId="0" fontId="0" fillId="11" borderId="0" xfId="0" applyFont="1" applyFill="1" applyAlignment="1">
      <alignment horizontal="left" vertical="center" indent="6"/>
    </xf>
    <xf numFmtId="0" fontId="23" fillId="6" borderId="0" xfId="0" applyFont="1" applyFill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00B050"/>
      </font>
      <fill>
        <patternFill>
          <bgColor rgb="FFFFDB01"/>
        </patternFill>
      </fill>
    </dxf>
    <dxf>
      <font>
        <b/>
        <i val="0"/>
        <color rgb="FFFB5757"/>
      </font>
      <fill>
        <patternFill patternType="solid">
          <bgColor theme="8" tint="0.79998168889431442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D5C1EB"/>
      <color rgb="FFFB5757"/>
      <color rgb="FFF58771"/>
      <color rgb="FFFFDB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Week-2</a:t>
            </a:r>
          </a:p>
        </c:rich>
      </c:tx>
      <c:layout>
        <c:manualLayout>
          <c:xMode val="edge"/>
          <c:yMode val="edge"/>
          <c:x val="4.003022592272381E-2"/>
          <c:y val="2.75537439029205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2468284670824733"/>
          <c:y val="0.11791674489344221"/>
          <c:w val="0.71831078933111248"/>
          <c:h val="0.82897660430916142"/>
        </c:manualLayout>
      </c:layout>
      <c:doughnutChart>
        <c:varyColors val="1"/>
        <c:ser>
          <c:idx val="0"/>
          <c:order val="0"/>
          <c:spPr>
            <a:solidFill>
              <a:schemeClr val="accent2">
                <a:lumMod val="20000"/>
                <a:lumOff val="80000"/>
              </a:schemeClr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35-4BF1-AC2C-50E2CD32FCAA}"/>
              </c:ext>
            </c:extLst>
          </c:dPt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935-4BF1-AC2C-50E2CD32FCAA}"/>
              </c:ext>
            </c:extLst>
          </c:dPt>
          <c:dLbls>
            <c:dLbl>
              <c:idx val="0"/>
              <c:numFmt formatCode="#,##0" sourceLinked="0"/>
              <c:spPr>
                <a:noFill/>
                <a:ln cmpd="sng"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bg1"/>
                      </a:solidFill>
                      <a:effectLst>
                        <a:outerShdw dist="101600" algn="ctr" rotWithShape="0">
                          <a:srgbClr val="000000">
                            <a:alpha val="43137"/>
                          </a:srgb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935-4BF1-AC2C-50E2CD32FCA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8602490635803698E-2"/>
                      <c:h val="8.3590027175214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935-4BF1-AC2C-50E2CD32FCAA}"/>
                </c:ext>
              </c:extLst>
            </c:dLbl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JUL!$B$36:$B$37</c:f>
              <c:strCache>
                <c:ptCount val="2"/>
                <c:pt idx="0">
                  <c:v>Week 2 Complete</c:v>
                </c:pt>
                <c:pt idx="1">
                  <c:v>Week 2 Incomplete</c:v>
                </c:pt>
              </c:strCache>
            </c:strRef>
          </c:cat>
          <c:val>
            <c:numRef>
              <c:f>JUL!$C$36:$C$37</c:f>
              <c:numCache>
                <c:formatCode>General</c:formatCode>
                <c:ptCount val="2"/>
                <c:pt idx="0" formatCode="0.00">
                  <c:v>21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5-4BF1-AC2C-50E2CD32FC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50800" cap="flat" cmpd="sng" algn="ctr">
      <a:solidFill>
        <a:schemeClr val="accent1">
          <a:lumMod val="75000"/>
        </a:schemeClr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402040758096614E-2"/>
          <c:y val="0.10207595573650018"/>
          <c:w val="0.88498840769903764"/>
          <c:h val="0.75019944659063109"/>
        </c:manualLayout>
      </c:layout>
      <c:lineChart>
        <c:grouping val="standard"/>
        <c:varyColors val="0"/>
        <c:ser>
          <c:idx val="0"/>
          <c:order val="0"/>
          <c:tx>
            <c:strRef>
              <c:f>JUL!$B$30</c:f>
              <c:strCache>
                <c:ptCount val="1"/>
                <c:pt idx="0">
                  <c:v>TOTAL %</c:v>
                </c:pt>
              </c:strCache>
            </c:strRef>
          </c:tx>
          <c:spPr>
            <a:ln w="57150" cap="rnd">
              <a:solidFill>
                <a:srgbClr val="00B0F0"/>
              </a:solidFill>
              <a:round/>
              <a:headEnd type="none"/>
            </a:ln>
            <a:effectLst/>
          </c:spPr>
          <c:marker>
            <c:symbol val="circle"/>
            <c:size val="5"/>
            <c:spPr>
              <a:solidFill>
                <a:srgbClr val="002060">
                  <a:alpha val="99000"/>
                </a:srgbClr>
              </a:solidFill>
              <a:ln w="38100">
                <a:solidFill>
                  <a:srgbClr val="00B0F0"/>
                </a:solidFill>
              </a:ln>
              <a:effectLst/>
            </c:spPr>
          </c:marker>
          <c:dPt>
            <c:idx val="6"/>
            <c:marker>
              <c:symbol val="circle"/>
              <c:size val="5"/>
              <c:spPr>
                <a:solidFill>
                  <a:schemeClr val="accent5">
                    <a:lumMod val="75000"/>
                  </a:schemeClr>
                </a:solidFill>
                <a:ln w="6350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57150" cap="rnd" cmpd="sng">
                <a:solidFill>
                  <a:srgbClr val="00B0F0"/>
                </a:solidFill>
                <a:round/>
                <a:head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CC-4090-B9DD-5F8D336B1AE0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002060">
                    <a:alpha val="99000"/>
                  </a:srgbClr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57150" cap="rnd">
                <a:solidFill>
                  <a:srgbClr val="00B0F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CC-4090-B9DD-5F8D336B1AE0}"/>
              </c:ext>
            </c:extLst>
          </c:dPt>
          <c:val>
            <c:numRef>
              <c:f>JUL!$C$30:$L$30</c:f>
              <c:numCache>
                <c:formatCode>0%</c:formatCode>
                <c:ptCount val="10"/>
                <c:pt idx="0">
                  <c:v>0.6</c:v>
                </c:pt>
                <c:pt idx="1">
                  <c:v>0.7</c:v>
                </c:pt>
                <c:pt idx="2">
                  <c:v>0.8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1</c:v>
                </c:pt>
                <c:pt idx="7">
                  <c:v>0.8</c:v>
                </c:pt>
                <c:pt idx="8">
                  <c:v>0.6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3-4630-BC79-F2F64A7AE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11327"/>
        <c:axId val="722506047"/>
      </c:lineChart>
      <c:catAx>
        <c:axId val="7225113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506047"/>
        <c:crosses val="autoZero"/>
        <c:auto val="1"/>
        <c:lblAlgn val="ctr"/>
        <c:lblOffset val="100"/>
        <c:noMultiLvlLbl val="0"/>
      </c:catAx>
      <c:valAx>
        <c:axId val="722506047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51132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/>
              <a:t>Week</a:t>
            </a:r>
            <a:r>
              <a:rPr lang="en-IN" sz="1800" b="1" baseline="0"/>
              <a:t>-1</a:t>
            </a:r>
            <a:endParaRPr lang="en-IN" sz="1800" b="1"/>
          </a:p>
        </c:rich>
      </c:tx>
      <c:layout>
        <c:manualLayout>
          <c:xMode val="edge"/>
          <c:yMode val="edge"/>
          <c:x val="2.7075531193072027E-2"/>
          <c:y val="2.4429964293779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28290799461028576"/>
          <c:y val="9.9572280365729141E-2"/>
          <c:w val="0.6196011770457529"/>
          <c:h val="0.81171180279681865"/>
        </c:manualLayout>
      </c:layout>
      <c:doughnutChart>
        <c:varyColors val="1"/>
        <c:ser>
          <c:idx val="0"/>
          <c:order val="0"/>
          <c:spPr>
            <a:solidFill>
              <a:srgbClr val="00B050"/>
            </a:solidFill>
            <a:effectLst/>
          </c:spPr>
          <c:explosion val="1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A2-4124-8F9D-0784AAC7ECB2}"/>
              </c:ext>
            </c:extLst>
          </c:dPt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 cap="flat" cmpd="sng">
                <a:solidFill>
                  <a:schemeClr val="lt1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DB-4ADF-9153-9EC9DD7F0DA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>
                  <a:glow rad="1841500">
                    <a:schemeClr val="accent1">
                      <a:alpha val="79000"/>
                    </a:schemeClr>
                  </a:glow>
                  <a:softEdge rad="533400"/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61A2-4124-8F9D-0784AAC7ECB2}"/>
                </c:ext>
              </c:extLst>
            </c:dLbl>
            <c:spPr>
              <a:noFill/>
              <a:ln>
                <a:noFill/>
              </a:ln>
              <a:effectLst>
                <a:glow rad="1841500">
                  <a:schemeClr val="accent1">
                    <a:alpha val="79000"/>
                  </a:schemeClr>
                </a:glow>
                <a:softEdge rad="533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JUL!$B$34:$B$35</c:f>
              <c:strCache>
                <c:ptCount val="2"/>
                <c:pt idx="0">
                  <c:v>Week 1 Complete</c:v>
                </c:pt>
                <c:pt idx="1">
                  <c:v>Week 1 Incomplete</c:v>
                </c:pt>
              </c:strCache>
            </c:strRef>
          </c:cat>
          <c:val>
            <c:numRef>
              <c:f>JUL!$C$34:$C$35</c:f>
              <c:numCache>
                <c:formatCode>General</c:formatCode>
                <c:ptCount val="2"/>
                <c:pt idx="0">
                  <c:v>49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B-4ADF-9153-9EC9DD7F0D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60"/>
        <c:holeSize val="75"/>
      </c:doughnutChart>
      <c:spPr>
        <a:solidFill>
          <a:schemeClr val="bg1">
            <a:alpha val="99000"/>
          </a:schemeClr>
        </a:solidFill>
        <a:ln w="889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50800" cap="rnd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42314</xdr:colOff>
      <xdr:row>3</xdr:row>
      <xdr:rowOff>55256</xdr:rowOff>
    </xdr:from>
    <xdr:to>
      <xdr:col>19</xdr:col>
      <xdr:colOff>268057</xdr:colOff>
      <xdr:row>13</xdr:row>
      <xdr:rowOff>73843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1A51F46-A895-7650-9F9F-51118610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36319</xdr:colOff>
      <xdr:row>3</xdr:row>
      <xdr:rowOff>9164</xdr:rowOff>
    </xdr:from>
    <xdr:to>
      <xdr:col>11</xdr:col>
      <xdr:colOff>160831</xdr:colOff>
      <xdr:row>12</xdr:row>
      <xdr:rowOff>53746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4E535F-BD35-C898-D6ED-9274695D6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46249</xdr:colOff>
      <xdr:row>3</xdr:row>
      <xdr:rowOff>51981</xdr:rowOff>
    </xdr:from>
    <xdr:to>
      <xdr:col>14</xdr:col>
      <xdr:colOff>593263</xdr:colOff>
      <xdr:row>13</xdr:row>
      <xdr:rowOff>52807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BAD7691-0214-1393-DB65-2028D40EF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624288</xdr:colOff>
      <xdr:row>2</xdr:row>
      <xdr:rowOff>0</xdr:rowOff>
    </xdr:from>
    <xdr:to>
      <xdr:col>13</xdr:col>
      <xdr:colOff>82625</xdr:colOff>
      <xdr:row>2</xdr:row>
      <xdr:rowOff>192795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47030F1-32A0-0456-2ABC-D50F1C028E58}"/>
            </a:ext>
          </a:extLst>
        </xdr:cNvPr>
        <xdr:cNvSpPr txBox="1"/>
      </xdr:nvSpPr>
      <xdr:spPr>
        <a:xfrm>
          <a:off x="5591059" y="367229"/>
          <a:ext cx="6426506" cy="19279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>
              <a:latin typeface="Lucida Sans" panose="020B0602030504020204" pitchFamily="34" charset="0"/>
            </a:rPr>
            <a:t>Success Comes From Daily Routines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F0C36C-265F-42A0-B615-CAC67AB110C9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enuvovTFx5ri6GiGw_Yf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Adi7yaSalunke" TargetMode="External"/><Relationship Id="rId1" Type="http://schemas.openxmlformats.org/officeDocument/2006/relationships/hyperlink" Target="http://www.linkedin.com/in/salunke-aditya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DC3C-8E33-440E-86CC-E97F0421F4DE}">
  <sheetPr codeName="Sheet1"/>
  <dimension ref="A1:V42"/>
  <sheetViews>
    <sheetView showGridLines="0" showRowColHeaders="0" tabSelected="1" zoomScale="86" zoomScaleNormal="86" workbookViewId="0">
      <selection activeCell="A26" sqref="A26"/>
    </sheetView>
  </sheetViews>
  <sheetFormatPr defaultRowHeight="14.4" x14ac:dyDescent="0.3"/>
  <cols>
    <col min="1" max="1" width="27.21875" customWidth="1"/>
    <col min="2" max="2" width="22.77734375" bestFit="1" customWidth="1"/>
    <col min="3" max="12" width="11.21875" bestFit="1" customWidth="1"/>
    <col min="13" max="13" width="11.6640625" bestFit="1" customWidth="1"/>
    <col min="14" max="14" width="13.21875" customWidth="1"/>
    <col min="15" max="15" width="9.77734375" customWidth="1"/>
    <col min="16" max="16" width="9" customWidth="1"/>
    <col min="17" max="17" width="8.88671875" customWidth="1"/>
    <col min="19" max="19" width="8.88671875" customWidth="1"/>
  </cols>
  <sheetData>
    <row r="1" spans="1:22" x14ac:dyDescent="0.3">
      <c r="A1" s="19" t="s">
        <v>35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8"/>
    </row>
    <row r="2" spans="1:22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8"/>
    </row>
    <row r="3" spans="1:22" ht="16.2" thickBot="1" x14ac:dyDescent="0.35">
      <c r="A3" s="21"/>
      <c r="B3" s="21"/>
      <c r="C3" s="21"/>
      <c r="D3" s="21"/>
      <c r="E3" s="21"/>
      <c r="F3" s="21"/>
      <c r="G3" s="24"/>
      <c r="H3" s="24"/>
      <c r="I3" s="24"/>
      <c r="J3" s="21"/>
      <c r="K3" s="21"/>
      <c r="L3" s="21"/>
      <c r="M3" s="21"/>
      <c r="N3" s="21"/>
      <c r="O3" s="21"/>
      <c r="P3" s="21"/>
      <c r="Q3" s="21"/>
      <c r="R3" s="21"/>
      <c r="S3" s="31"/>
      <c r="T3" s="21"/>
      <c r="U3" s="21"/>
      <c r="V3" s="21"/>
    </row>
    <row r="4" spans="1:22" ht="23.4" x14ac:dyDescent="0.45">
      <c r="A4" s="17" t="s">
        <v>5</v>
      </c>
    </row>
    <row r="5" spans="1:22" ht="24" thickBot="1" x14ac:dyDescent="0.5">
      <c r="A5" s="20">
        <v>46225</v>
      </c>
    </row>
    <row r="6" spans="1:22" ht="15" thickBot="1" x14ac:dyDescent="0.35">
      <c r="A6" s="4"/>
    </row>
    <row r="7" spans="1:22" ht="18" x14ac:dyDescent="0.35">
      <c r="A7" s="26" t="s">
        <v>6</v>
      </c>
    </row>
    <row r="8" spans="1:22" ht="18.600000000000001" thickBot="1" x14ac:dyDescent="0.4">
      <c r="A8" s="18" t="str">
        <f>_xlfn.XLOOKUP(MAX(M18:M27),M18:M27,B18:B27)</f>
        <v>Prayer</v>
      </c>
    </row>
    <row r="9" spans="1:22" ht="15" thickBot="1" x14ac:dyDescent="0.35">
      <c r="A9" s="4"/>
    </row>
    <row r="10" spans="1:22" ht="18" x14ac:dyDescent="0.35">
      <c r="A10" s="26" t="s">
        <v>40</v>
      </c>
    </row>
    <row r="11" spans="1:22" ht="18.600000000000001" thickBot="1" x14ac:dyDescent="0.4">
      <c r="A11" s="18" t="str">
        <f>_xlfn.XLOOKUP(MIN(M18:M27),M18:M27,B18:B27)</f>
        <v>Reading 5 Pages</v>
      </c>
    </row>
    <row r="15" spans="1:22" x14ac:dyDescent="0.3">
      <c r="A15" s="25" t="s">
        <v>27</v>
      </c>
      <c r="B15" s="5"/>
      <c r="C15" s="2">
        <v>46225</v>
      </c>
      <c r="D15" s="2">
        <f>C15+1</f>
        <v>46226</v>
      </c>
      <c r="E15" s="2">
        <f t="shared" ref="E15:L16" si="0">D15+1</f>
        <v>46227</v>
      </c>
      <c r="F15" s="2">
        <f t="shared" si="0"/>
        <v>46228</v>
      </c>
      <c r="G15" s="2">
        <f t="shared" si="0"/>
        <v>46229</v>
      </c>
      <c r="H15" s="2">
        <f t="shared" si="0"/>
        <v>46230</v>
      </c>
      <c r="I15" s="2">
        <f t="shared" si="0"/>
        <v>46231</v>
      </c>
      <c r="J15" s="2">
        <f t="shared" si="0"/>
        <v>46232</v>
      </c>
      <c r="K15" s="2">
        <f t="shared" si="0"/>
        <v>46233</v>
      </c>
      <c r="L15" s="2">
        <f t="shared" si="0"/>
        <v>46234</v>
      </c>
      <c r="M15" s="5"/>
      <c r="N15" s="5"/>
      <c r="O15" s="8"/>
      <c r="P15" s="8"/>
      <c r="Q15" s="28"/>
      <c r="R15" s="28"/>
      <c r="S15" s="28"/>
    </row>
    <row r="16" spans="1:22" ht="22.8" x14ac:dyDescent="0.4">
      <c r="A16" s="29">
        <f>COUNTIF(C18:I27,"Y")/(COUNTIF(C18:I27,"Y")+COUNTIF(C18:I27,"N"))</f>
        <v>0.7</v>
      </c>
      <c r="B16" s="10" t="s">
        <v>13</v>
      </c>
      <c r="C16" s="3">
        <v>46225</v>
      </c>
      <c r="D16" s="3">
        <f>C16+1</f>
        <v>46226</v>
      </c>
      <c r="E16" s="3">
        <f t="shared" si="0"/>
        <v>46227</v>
      </c>
      <c r="F16" s="3">
        <f t="shared" si="0"/>
        <v>46228</v>
      </c>
      <c r="G16" s="3">
        <f t="shared" si="0"/>
        <v>46229</v>
      </c>
      <c r="H16" s="3">
        <f t="shared" si="0"/>
        <v>46230</v>
      </c>
      <c r="I16" s="3">
        <f t="shared" si="0"/>
        <v>46231</v>
      </c>
      <c r="J16" s="3">
        <f t="shared" si="0"/>
        <v>46232</v>
      </c>
      <c r="K16" s="3">
        <f t="shared" si="0"/>
        <v>46233</v>
      </c>
      <c r="L16" s="3">
        <f t="shared" si="0"/>
        <v>46234</v>
      </c>
      <c r="M16" s="5"/>
      <c r="N16" s="5"/>
      <c r="O16" s="5" t="s">
        <v>8</v>
      </c>
      <c r="P16" s="5" t="s">
        <v>10</v>
      </c>
      <c r="Q16" s="41"/>
      <c r="R16" s="55" t="s">
        <v>41</v>
      </c>
      <c r="S16" s="49"/>
      <c r="T16" s="44"/>
    </row>
    <row r="17" spans="1:22" ht="15.6" customHeight="1" x14ac:dyDescent="0.3">
      <c r="A17" s="7"/>
      <c r="B17" s="5"/>
      <c r="C17" s="11" cm="1">
        <f t="array" ref="C17:L17">_xlfn.SEQUENCE(,10)</f>
        <v>1</v>
      </c>
      <c r="D17" s="11">
        <v>2</v>
      </c>
      <c r="E17" s="11">
        <v>3</v>
      </c>
      <c r="F17" s="11">
        <v>4</v>
      </c>
      <c r="G17" s="11">
        <v>5</v>
      </c>
      <c r="H17" s="11">
        <v>6</v>
      </c>
      <c r="I17" s="11">
        <v>7</v>
      </c>
      <c r="J17" s="12">
        <v>8</v>
      </c>
      <c r="K17" s="12">
        <v>9</v>
      </c>
      <c r="L17" s="12">
        <v>10</v>
      </c>
      <c r="M17" s="1" t="s">
        <v>38</v>
      </c>
      <c r="N17" s="1" t="s">
        <v>39</v>
      </c>
      <c r="O17" s="5" t="s">
        <v>9</v>
      </c>
      <c r="P17" s="5" t="s">
        <v>11</v>
      </c>
      <c r="Q17" s="40"/>
      <c r="R17" s="45">
        <f>--(COUNTIF(C18:C27,"Y")=10)
+--(COUNTIF(D18:D27,"Y")=10)
+--(COUNTIF(E18:E27,"Y")=10)
+--(COUNTIF(F18:F27,"Y")=10)
+--(COUNTIF(G18:G27,"Y")=10)
+--(COUNTIF(H18:H27,"Y")=10)
+--(COUNTIF(I18:I27,"Y")=10)
+--(COUNTIF(J18:J27,"Y")=10)
+--(COUNTIF(K18:K27,"Y")=10)
+--(COUNTIF(L18:L27,"Y")=10)</f>
        <v>1</v>
      </c>
      <c r="S17" s="45"/>
      <c r="T17" s="45"/>
    </row>
    <row r="18" spans="1:22" ht="18.600000000000001" x14ac:dyDescent="0.45">
      <c r="A18" s="27" t="s">
        <v>28</v>
      </c>
      <c r="B18" s="6" t="s">
        <v>22</v>
      </c>
      <c r="C18" s="23" t="s">
        <v>12</v>
      </c>
      <c r="D18" s="23" t="s">
        <v>12</v>
      </c>
      <c r="E18" s="23" t="s">
        <v>7</v>
      </c>
      <c r="F18" s="23" t="s">
        <v>12</v>
      </c>
      <c r="G18" s="23" t="s">
        <v>12</v>
      </c>
      <c r="H18" s="23" t="s">
        <v>12</v>
      </c>
      <c r="I18" s="23" t="s">
        <v>7</v>
      </c>
      <c r="J18" s="23" t="s">
        <v>7</v>
      </c>
      <c r="K18" s="23" t="s">
        <v>7</v>
      </c>
      <c r="L18" s="23" t="s">
        <v>7</v>
      </c>
      <c r="M18" s="16">
        <f>COUNTIF(C18:L18,"y")</f>
        <v>5</v>
      </c>
      <c r="N18" s="9" t="str">
        <f>REPT("|",M18*10)</f>
        <v>||||||||||||||||||||||||||||||||||||||||||||||||||</v>
      </c>
      <c r="O18" s="13" t="str" cm="1">
        <f t="array" ref="O18">IF(CurrentStreak(C18:L18)=0,"😴 0",
IF(CurrentStreak(C18:L18)&lt;3,"🌱 "&amp;CurrentStreak(C18:L18),
IF(CurrentStreak(C18:L18)&lt;7,"🔥 "&amp;CurrentStreak(C18:L18),
IF(CurrentStreak(C18:L18)&lt;15,"🏅 "&amp;CurrentStreak(C18:L18),
"👑 "&amp;CurrentStreak(C18:L18)))))</f>
        <v>🔥 4</v>
      </c>
      <c r="P18" s="54" t="str" cm="1">
        <f t="array" ref="P18">IF(LongestStreak(C18:L18)=0,"😴 0",
IF(LongestStreak(C18:L18)&lt;3,"🌱 "&amp;LongestStreak(C18:L18),
IF(LongestStreak(C18:L18)&lt;7,"🔥 "&amp;LongestStreak(C18:L18),
IF(LongestStreak(C18:L18)&lt;15,"🏅 "&amp;LongestStreak(C18:L18),
"👑 "&amp;LongestStreak(C18:L18)))))</f>
        <v>🔥 4</v>
      </c>
      <c r="Q18" s="39"/>
      <c r="R18" s="39"/>
      <c r="S18" s="39"/>
      <c r="T18" s="39"/>
    </row>
    <row r="19" spans="1:22" ht="18.600000000000001" x14ac:dyDescent="0.45">
      <c r="A19" s="29">
        <f>IF(COUNTIF(J18:L27,"Y")+COUNTIF(J18:L27,"N")=0,"",
COUNTIF(J18:L27,"Y")/(COUNTIF(J18:L27,"Y")+COUNTIF(J18:L27,"N")))</f>
        <v>0.7</v>
      </c>
      <c r="B19" s="6" t="s">
        <v>23</v>
      </c>
      <c r="C19" s="23" t="s">
        <v>7</v>
      </c>
      <c r="D19" s="23" t="s">
        <v>7</v>
      </c>
      <c r="E19" s="23" t="s">
        <v>12</v>
      </c>
      <c r="F19" s="23" t="s">
        <v>12</v>
      </c>
      <c r="G19" s="23" t="s">
        <v>7</v>
      </c>
      <c r="H19" s="23" t="s">
        <v>7</v>
      </c>
      <c r="I19" s="23" t="s">
        <v>7</v>
      </c>
      <c r="J19" s="23" t="s">
        <v>7</v>
      </c>
      <c r="K19" s="23" t="s">
        <v>12</v>
      </c>
      <c r="L19" s="23" t="s">
        <v>7</v>
      </c>
      <c r="M19" s="16">
        <f t="shared" ref="M19:M27" si="1">COUNTIF(C19:L19,"y")</f>
        <v>7</v>
      </c>
      <c r="N19" s="9" t="str">
        <f t="shared" ref="N19:N27" si="2">REPT("|",M19*10)</f>
        <v>||||||||||||||||||||||||||||||||||||||||||||||||||||||||||||||||||||||</v>
      </c>
      <c r="O19" s="13" t="str" cm="1">
        <f t="array" ref="O19">IF(CurrentStreak(C19:L19)=0,"😴 0",
IF(CurrentStreak(C19:L19)&lt;3,"🌱 "&amp;CurrentStreak(C19:L19),
IF(CurrentStreak(C19:L19)&lt;7,"🔥 "&amp;CurrentStreak(C19:L19),
IF(CurrentStreak(C19:L19)&lt;15,"🏅 "&amp;CurrentStreak(C19:L19),
"👑 "&amp;CurrentStreak(C19:L19)))))</f>
        <v>🌱 1</v>
      </c>
      <c r="P19" s="14" t="str" cm="1">
        <f t="array" ref="P19">IF(LongestStreak(C19:L19)=0,"😴 0",
IF(LongestStreak(C19:L19)&lt;3,"🌱 "&amp;LongestStreak(C19:L19),
IF(LongestStreak(C19:L19)&lt;7,"🔥 "&amp;LongestStreak(C19:L19),
IF(LongestStreak(C19:L19)&lt;15,"🏅 "&amp;LongestStreak(C19:L19),
"👑 "&amp;LongestStreak(C19:L19)))))</f>
        <v>🔥 4</v>
      </c>
      <c r="Q19" s="38"/>
      <c r="R19" s="48" t="s">
        <v>37</v>
      </c>
      <c r="S19" s="46"/>
      <c r="T19" s="47"/>
    </row>
    <row r="20" spans="1:22" ht="18.600000000000001" x14ac:dyDescent="0.45">
      <c r="A20" s="7"/>
      <c r="B20" s="6" t="s">
        <v>0</v>
      </c>
      <c r="C20" s="23" t="s">
        <v>7</v>
      </c>
      <c r="D20" s="23" t="s">
        <v>7</v>
      </c>
      <c r="E20" s="23" t="s">
        <v>7</v>
      </c>
      <c r="F20" s="23" t="s">
        <v>7</v>
      </c>
      <c r="G20" s="23" t="s">
        <v>7</v>
      </c>
      <c r="H20" s="23" t="s">
        <v>12</v>
      </c>
      <c r="I20" s="23" t="s">
        <v>7</v>
      </c>
      <c r="J20" s="23" t="s">
        <v>7</v>
      </c>
      <c r="K20" s="23" t="s">
        <v>12</v>
      </c>
      <c r="L20" s="23" t="s">
        <v>7</v>
      </c>
      <c r="M20" s="16">
        <f t="shared" si="1"/>
        <v>8</v>
      </c>
      <c r="N20" s="9" t="str">
        <f t="shared" si="2"/>
        <v>||||||||||||||||||||||||||||||||||||||||||||||||||||||||||||||||||||||||||||||||</v>
      </c>
      <c r="O20" s="13" t="str" cm="1">
        <f t="array" ref="O20">IF(CurrentStreak(C20:L20)=0,"😴 0",
IF(CurrentStreak(C20:L20)&lt;3,"🌱 "&amp;CurrentStreak(C20:L20),
IF(CurrentStreak(C20:L20)&lt;7,"🔥 "&amp;CurrentStreak(C20:L20),
IF(CurrentStreak(C20:L20)&lt;15,"🏅 "&amp;CurrentStreak(C20:L20),
"👑 "&amp;CurrentStreak(C20:L20)))))</f>
        <v>🌱 1</v>
      </c>
      <c r="P20" s="14" t="str" cm="1">
        <f t="array" ref="P20">IF(LongestStreak(C20:L20)=0,"😴 0",
IF(LongestStreak(C20:L20)&lt;3,"🌱 "&amp;LongestStreak(C20:L20),
IF(LongestStreak(C20:L20)&lt;7,"🔥 "&amp;LongestStreak(C20:L20),
IF(LongestStreak(C20:L20)&lt;15,"🏅 "&amp;LongestStreak(C20:L20),
"👑 "&amp;LongestStreak(C20:L20)))))</f>
        <v>🔥 5</v>
      </c>
      <c r="Q20" s="42"/>
      <c r="R20" s="58" t="str">
        <f>IF(A22&gt;=80%,
"🎯 Target achieved! Keep the momentum.",
"🎯 Only "&amp;TEXT(80%-A22,"0%")&amp;" more to reach 80%.")</f>
        <v>🎯 Only 10% more to reach 80%.</v>
      </c>
      <c r="S20" s="58"/>
      <c r="T20" s="58"/>
    </row>
    <row r="21" spans="1:22" ht="18.600000000000001" x14ac:dyDescent="0.45">
      <c r="A21" s="27" t="s">
        <v>29</v>
      </c>
      <c r="B21" s="6" t="s">
        <v>24</v>
      </c>
      <c r="C21" s="23" t="s">
        <v>7</v>
      </c>
      <c r="D21" s="23" t="s">
        <v>12</v>
      </c>
      <c r="E21" s="23" t="s">
        <v>7</v>
      </c>
      <c r="F21" s="23" t="s">
        <v>12</v>
      </c>
      <c r="G21" s="23" t="s">
        <v>7</v>
      </c>
      <c r="H21" s="23" t="s">
        <v>7</v>
      </c>
      <c r="I21" s="23" t="s">
        <v>7</v>
      </c>
      <c r="J21" s="23" t="s">
        <v>12</v>
      </c>
      <c r="K21" s="23" t="s">
        <v>7</v>
      </c>
      <c r="L21" s="23" t="s">
        <v>7</v>
      </c>
      <c r="M21" s="16">
        <f>COUNTIF(C21:L21,"y")</f>
        <v>7</v>
      </c>
      <c r="N21" s="9" t="str">
        <f t="shared" si="2"/>
        <v>||||||||||||||||||||||||||||||||||||||||||||||||||||||||||||||||||||||</v>
      </c>
      <c r="O21" s="13" t="str" cm="1">
        <f t="array" ref="O21">IF(CurrentStreak(C21:L21)=0,"😴 0",
IF(CurrentStreak(C21:L21)&lt;3,"🌱 "&amp;CurrentStreak(C21:L21),
IF(CurrentStreak(C21:L21)&lt;7,"🔥 "&amp;CurrentStreak(C21:L21),
IF(CurrentStreak(C21:L21)&lt;15,"🏅 "&amp;CurrentStreak(C21:L21),
"👑 "&amp;CurrentStreak(C21:L21)))))</f>
        <v>🌱 2</v>
      </c>
      <c r="P21" s="14" t="str" cm="1">
        <f t="array" ref="P21">IF(LongestStreak(C21:L21)=0,"😴 0",
IF(LongestStreak(C21:L21)&lt;3,"🌱 "&amp;LongestStreak(C21:L21),
IF(LongestStreak(C21:L21)&lt;7,"🔥 "&amp;LongestStreak(C21:L21),
IF(LongestStreak(C21:L21)&lt;15,"🏅 "&amp;LongestStreak(C21:L21),
"👑 "&amp;LongestStreak(C21:L21)))))</f>
        <v>🔥 3</v>
      </c>
      <c r="Q21" s="42"/>
      <c r="R21" s="58"/>
      <c r="S21" s="58"/>
      <c r="T21" s="58"/>
    </row>
    <row r="22" spans="1:22" ht="18.600000000000001" x14ac:dyDescent="0.45">
      <c r="A22" s="29">
        <f>COUNTIF(C18:L27,"Y")/(ROWS(C18:C27)*COLUMNS(C18:L27))</f>
        <v>0.7</v>
      </c>
      <c r="B22" s="6" t="s">
        <v>26</v>
      </c>
      <c r="C22" s="23" t="s">
        <v>12</v>
      </c>
      <c r="D22" s="23" t="s">
        <v>7</v>
      </c>
      <c r="E22" s="23" t="s">
        <v>12</v>
      </c>
      <c r="F22" s="23" t="s">
        <v>7</v>
      </c>
      <c r="G22" s="23" t="s">
        <v>12</v>
      </c>
      <c r="H22" s="23" t="s">
        <v>7</v>
      </c>
      <c r="I22" s="23" t="s">
        <v>7</v>
      </c>
      <c r="J22" s="23" t="s">
        <v>12</v>
      </c>
      <c r="K22" s="23" t="s">
        <v>12</v>
      </c>
      <c r="L22" s="23" t="s">
        <v>12</v>
      </c>
      <c r="M22" s="16">
        <f>COUNTIF(C22:L22,"y")</f>
        <v>4</v>
      </c>
      <c r="N22" s="9" t="str">
        <f t="shared" si="2"/>
        <v>||||||||||||||||||||||||||||||||||||||||</v>
      </c>
      <c r="O22" s="13" t="str" cm="1">
        <f t="array" ref="O22">IF(CurrentStreak(C22:L22)=0,"😴 0",
IF(CurrentStreak(C22:L22)&lt;3,"🌱 "&amp;CurrentStreak(C22:L22),
IF(CurrentStreak(C22:L22)&lt;7,"🔥 "&amp;CurrentStreak(C22:L22),
IF(CurrentStreak(C22:L22)&lt;15,"🏅 "&amp;CurrentStreak(C22:L22),
"👑 "&amp;CurrentStreak(C22:L22)))))</f>
        <v>😴 0</v>
      </c>
      <c r="P22" s="14" t="str" cm="1">
        <f t="array" ref="P22">IF(LongestStreak(C22:L22)=0,"😴 0",
IF(LongestStreak(C22:L22)&lt;3,"🌱 "&amp;LongestStreak(C22:L22),
IF(LongestStreak(C22:L22)&lt;7,"🔥 "&amp;LongestStreak(C22:L22),
IF(LongestStreak(C22:L22)&lt;15,"🏅 "&amp;LongestStreak(C22:L22),
"👑 "&amp;LongestStreak(C22:L22)))))</f>
        <v>🌱 2</v>
      </c>
      <c r="Q22" s="38"/>
      <c r="R22" s="38"/>
      <c r="S22" s="43"/>
      <c r="T22" s="38"/>
    </row>
    <row r="23" spans="1:22" ht="18.600000000000001" x14ac:dyDescent="0.45">
      <c r="A23" s="7"/>
      <c r="B23" s="6" t="s">
        <v>21</v>
      </c>
      <c r="C23" s="23" t="s">
        <v>7</v>
      </c>
      <c r="D23" s="23" t="s">
        <v>7</v>
      </c>
      <c r="E23" s="23" t="s">
        <v>7</v>
      </c>
      <c r="F23" s="23" t="s">
        <v>7</v>
      </c>
      <c r="G23" s="23" t="s">
        <v>12</v>
      </c>
      <c r="H23" s="23" t="s">
        <v>12</v>
      </c>
      <c r="I23" s="23" t="s">
        <v>7</v>
      </c>
      <c r="J23" s="23" t="s">
        <v>7</v>
      </c>
      <c r="K23" s="23" t="s">
        <v>7</v>
      </c>
      <c r="L23" s="23" t="s">
        <v>12</v>
      </c>
      <c r="M23" s="16">
        <f t="shared" si="1"/>
        <v>7</v>
      </c>
      <c r="N23" s="9" t="str">
        <f t="shared" si="2"/>
        <v>||||||||||||||||||||||||||||||||||||||||||||||||||||||||||||||||||||||</v>
      </c>
      <c r="O23" s="13" t="str" cm="1">
        <f t="array" ref="O23">IF(CurrentStreak(C23:L23)=0,"😴 0",
IF(CurrentStreak(C23:L23)&lt;3,"🌱 "&amp;CurrentStreak(C23:L23),
IF(CurrentStreak(C23:L23)&lt;7,"🔥 "&amp;CurrentStreak(C23:L23),
IF(CurrentStreak(C23:L23)&lt;15,"🏅 "&amp;CurrentStreak(C23:L23),
"👑 "&amp;CurrentStreak(C23:L23)))))</f>
        <v>😴 0</v>
      </c>
      <c r="P23" s="14" t="str" cm="1">
        <f t="array" ref="P23">IF(LongestStreak(C23:L23)=0,"😴 0",
IF(LongestStreak(C23:L23)&lt;3,"🌱 "&amp;LongestStreak(C23:L23),
IF(LongestStreak(C23:L23)&lt;7,"🔥 "&amp;LongestStreak(C23:L23),
IF(LongestStreak(C23:L23)&lt;15,"🏅 "&amp;LongestStreak(C23:L23),
"👑 "&amp;LongestStreak(C23:L23)))))</f>
        <v>🔥 4</v>
      </c>
      <c r="S23" s="15"/>
    </row>
    <row r="24" spans="1:22" ht="18.600000000000001" x14ac:dyDescent="0.45">
      <c r="A24" s="27" t="s">
        <v>30</v>
      </c>
      <c r="B24" s="6" t="s">
        <v>1</v>
      </c>
      <c r="C24" s="23" t="s">
        <v>7</v>
      </c>
      <c r="D24" s="23" t="s">
        <v>12</v>
      </c>
      <c r="E24" s="23" t="s">
        <v>7</v>
      </c>
      <c r="F24" s="23" t="s">
        <v>7</v>
      </c>
      <c r="G24" s="23" t="s">
        <v>7</v>
      </c>
      <c r="H24" s="23" t="s">
        <v>7</v>
      </c>
      <c r="I24" s="23" t="s">
        <v>7</v>
      </c>
      <c r="J24" s="23" t="s">
        <v>7</v>
      </c>
      <c r="K24" s="23" t="s">
        <v>7</v>
      </c>
      <c r="L24" s="23" t="s">
        <v>12</v>
      </c>
      <c r="M24" s="16">
        <f t="shared" si="1"/>
        <v>8</v>
      </c>
      <c r="N24" s="9" t="str">
        <f t="shared" si="2"/>
        <v>||||||||||||||||||||||||||||||||||||||||||||||||||||||||||||||||||||||||||||||||</v>
      </c>
      <c r="O24" s="13" t="str" cm="1">
        <f t="array" ref="O24">IF(CurrentStreak(C24:L24)=0,"😴 0",
IF(CurrentStreak(C24:L24)&lt;3,"🌱 "&amp;CurrentStreak(C24:L24),
IF(CurrentStreak(C24:L24)&lt;7,"🔥 "&amp;CurrentStreak(C24:L24),
IF(CurrentStreak(C24:L24)&lt;15,"🏅 "&amp;CurrentStreak(C24:L24),
"👑 "&amp;CurrentStreak(C24:L24)))))</f>
        <v>😴 0</v>
      </c>
      <c r="P24" s="14" t="str" cm="1">
        <f t="array" ref="P24">IF(LongestStreak(C24:L24)=0,"😴 0",
IF(LongestStreak(C24:L24)&lt;3,"🌱 "&amp;LongestStreak(C24:L24),
IF(LongestStreak(C24:L24)&lt;7,"🔥 "&amp;LongestStreak(C24:L24),
IF(LongestStreak(C24:L24)&lt;15,"🏅 "&amp;LongestStreak(C24:L24),
"👑 "&amp;LongestStreak(C24:L24)))))</f>
        <v>🏅 7</v>
      </c>
      <c r="R24" s="56" t="s">
        <v>31</v>
      </c>
      <c r="S24" s="56"/>
      <c r="T24" s="57"/>
    </row>
    <row r="25" spans="1:22" ht="18.600000000000001" x14ac:dyDescent="0.45">
      <c r="A25" s="30" t="str">
        <f>IF(A22&gt;=90%,"🏆 Elite",
IF(A22&gt;=75%,"🔥 Excellent",
IF(A22&gt;=60%,"💪 Good",
IF(A22&gt;=40%,"🙂 Average",
"🌱 Beginner"))))</f>
        <v>💪 Good</v>
      </c>
      <c r="B25" s="6" t="s">
        <v>2</v>
      </c>
      <c r="C25" s="23" t="s">
        <v>12</v>
      </c>
      <c r="D25" s="23" t="s">
        <v>7</v>
      </c>
      <c r="E25" s="23" t="s">
        <v>7</v>
      </c>
      <c r="F25" s="23" t="s">
        <v>7</v>
      </c>
      <c r="G25" s="23" t="s">
        <v>12</v>
      </c>
      <c r="H25" s="23" t="s">
        <v>7</v>
      </c>
      <c r="I25" s="23" t="s">
        <v>7</v>
      </c>
      <c r="J25" s="23" t="s">
        <v>7</v>
      </c>
      <c r="K25" s="23" t="s">
        <v>7</v>
      </c>
      <c r="L25" s="23" t="s">
        <v>7</v>
      </c>
      <c r="M25" s="16">
        <f t="shared" si="1"/>
        <v>8</v>
      </c>
      <c r="N25" s="9" t="str">
        <f t="shared" si="2"/>
        <v>||||||||||||||||||||||||||||||||||||||||||||||||||||||||||||||||||||||||||||||||</v>
      </c>
      <c r="O25" s="13" t="str" cm="1">
        <f t="array" ref="O25">IF(CurrentStreak(C25:L25)=0,"😴 0",
IF(CurrentStreak(C25:L25)&lt;3,"🌱 "&amp;CurrentStreak(C25:L25),
IF(CurrentStreak(C25:L25)&lt;7,"🔥 "&amp;CurrentStreak(C25:L25),
IF(CurrentStreak(C25:L25)&lt;15,"🏅 "&amp;CurrentStreak(C25:L25),
"👑 "&amp;CurrentStreak(C25:L25)))))</f>
        <v>🔥 5</v>
      </c>
      <c r="P25" s="14" t="str" cm="1">
        <f t="array" ref="P25">IF(LongestStreak(C25:L25)=0,"😴 0",
IF(LongestStreak(C25:L25)&lt;3,"🌱 "&amp;LongestStreak(C25:L25),
IF(LongestStreak(C25:L25)&lt;7,"🔥 "&amp;LongestStreak(C25:L25),
IF(LongestStreak(C25:L25)&lt;15,"🏅 "&amp;LongestStreak(C25:L25),
"👑 "&amp;LongestStreak(C25:L25)))))</f>
        <v>🔥 5</v>
      </c>
      <c r="R25" s="50" t="s">
        <v>32</v>
      </c>
      <c r="S25" s="50"/>
      <c r="T25" s="51"/>
    </row>
    <row r="26" spans="1:22" ht="18.600000000000001" x14ac:dyDescent="0.45">
      <c r="A26" s="7"/>
      <c r="B26" s="6" t="s">
        <v>25</v>
      </c>
      <c r="C26" s="23" t="s">
        <v>7</v>
      </c>
      <c r="D26" s="23" t="s">
        <v>7</v>
      </c>
      <c r="E26" s="23" t="s">
        <v>7</v>
      </c>
      <c r="F26" s="23" t="s">
        <v>7</v>
      </c>
      <c r="G26" s="23" t="s">
        <v>7</v>
      </c>
      <c r="H26" s="23" t="s">
        <v>7</v>
      </c>
      <c r="I26" s="23" t="s">
        <v>7</v>
      </c>
      <c r="J26" s="23" t="s">
        <v>7</v>
      </c>
      <c r="K26" s="23" t="s">
        <v>7</v>
      </c>
      <c r="L26" s="23" t="s">
        <v>7</v>
      </c>
      <c r="M26" s="16">
        <f t="shared" si="1"/>
        <v>10</v>
      </c>
      <c r="N26" s="9" t="str">
        <f t="shared" si="2"/>
        <v>||||||||||||||||||||||||||||||||||||||||||||||||||||||||||||||||||||||||||||||||||||||||||||||||||||</v>
      </c>
      <c r="O26" s="13" t="str" cm="1">
        <f t="array" ref="O26">IF(CurrentStreak(C26:L26)=0,"😴 0",
IF(CurrentStreak(C26:L26)&lt;3,"🌱 "&amp;CurrentStreak(C26:L26),
IF(CurrentStreak(C26:L26)&lt;7,"🔥 "&amp;CurrentStreak(C26:L26),
IF(CurrentStreak(C26:L26)&lt;15,"🏅 "&amp;CurrentStreak(C26:L26),
"👑 "&amp;CurrentStreak(C26:L26)))))</f>
        <v>🏅 10</v>
      </c>
      <c r="P26" s="14" t="str" cm="1">
        <f t="array" ref="P26">IF(LongestStreak(C26:L26)=0,"😴 0",
IF(LongestStreak(C26:L26)&lt;3,"🌱 "&amp;LongestStreak(C26:L26),
IF(LongestStreak(C26:L26)&lt;7,"🔥 "&amp;LongestStreak(C26:L26),
IF(LongestStreak(C26:L26)&lt;15,"🏅 "&amp;LongestStreak(C26:L26),
"👑 "&amp;LongestStreak(C26:L26)))))</f>
        <v>🏅 10</v>
      </c>
      <c r="R26" s="52" t="s">
        <v>33</v>
      </c>
      <c r="S26" s="53" t="s">
        <v>36</v>
      </c>
      <c r="T26" s="51"/>
    </row>
    <row r="27" spans="1:22" ht="18.600000000000001" x14ac:dyDescent="0.45">
      <c r="A27" s="7"/>
      <c r="B27" s="6" t="s">
        <v>20</v>
      </c>
      <c r="C27" s="22" t="s">
        <v>12</v>
      </c>
      <c r="D27" s="22" t="s">
        <v>7</v>
      </c>
      <c r="E27" s="22" t="s">
        <v>7</v>
      </c>
      <c r="F27" s="22" t="s">
        <v>12</v>
      </c>
      <c r="G27" s="22" t="s">
        <v>7</v>
      </c>
      <c r="H27" s="22" t="s">
        <v>12</v>
      </c>
      <c r="I27" s="22" t="s">
        <v>7</v>
      </c>
      <c r="J27" s="22" t="s">
        <v>7</v>
      </c>
      <c r="K27" s="22" t="s">
        <v>12</v>
      </c>
      <c r="L27" s="22" t="s">
        <v>7</v>
      </c>
      <c r="M27" s="16">
        <f t="shared" si="1"/>
        <v>6</v>
      </c>
      <c r="N27" s="9" t="str">
        <f t="shared" si="2"/>
        <v>||||||||||||||||||||||||||||||||||||||||||||||||||||||||||||</v>
      </c>
      <c r="O27" s="13" t="str" cm="1">
        <f t="array" ref="O27">IF(CurrentStreak(C27:L27)=0,"😴 0",
IF(CurrentStreak(C27:L27)&lt;3,"🌱 "&amp;CurrentStreak(C27:L27),
IF(CurrentStreak(C27:L27)&lt;7,"🔥 "&amp;CurrentStreak(C27:L27),
IF(CurrentStreak(C27:L27)&lt;15,"🏅 "&amp;CurrentStreak(C27:L27),
"👑 "&amp;CurrentStreak(C27:L27)))))</f>
        <v>🌱 1</v>
      </c>
      <c r="P27" s="14" t="str" cm="1">
        <f t="array" ref="P27">IF(LongestStreak(C27:L27)=0,"😴 0",
IF(LongestStreak(C27:L27)&lt;3,"🌱 "&amp;LongestStreak(C27:L27),
IF(LongestStreak(C27:L27)&lt;7,"🔥 "&amp;LongestStreak(C27:L27),
IF(LongestStreak(C27:L27)&lt;15,"🏅 "&amp;LongestStreak(C27:L27),
"👑 "&amp;LongestStreak(C27:L27)))))</f>
        <v>🌱 2</v>
      </c>
      <c r="R27" s="52" t="s">
        <v>34</v>
      </c>
      <c r="S27" s="53" t="s">
        <v>36</v>
      </c>
      <c r="T27" s="51"/>
    </row>
    <row r="28" spans="1:22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2" x14ac:dyDescent="0.3">
      <c r="A29" s="32"/>
      <c r="B29" s="32" t="s">
        <v>3</v>
      </c>
      <c r="C29" s="32">
        <f>COUNTIF(C18:C27,"Y")</f>
        <v>6</v>
      </c>
      <c r="D29" s="32">
        <f t="shared" ref="D29:L29" si="3">COUNTIF(D18:D27,"Y")</f>
        <v>7</v>
      </c>
      <c r="E29" s="32">
        <f t="shared" si="3"/>
        <v>8</v>
      </c>
      <c r="F29" s="32">
        <f t="shared" si="3"/>
        <v>6</v>
      </c>
      <c r="G29" s="32">
        <f t="shared" si="3"/>
        <v>6</v>
      </c>
      <c r="H29" s="32">
        <f t="shared" si="3"/>
        <v>6</v>
      </c>
      <c r="I29" s="32">
        <f t="shared" si="3"/>
        <v>10</v>
      </c>
      <c r="J29" s="32">
        <f t="shared" si="3"/>
        <v>8</v>
      </c>
      <c r="K29" s="32">
        <f t="shared" si="3"/>
        <v>6</v>
      </c>
      <c r="L29" s="32">
        <f t="shared" si="3"/>
        <v>7</v>
      </c>
      <c r="M29" s="33"/>
    </row>
    <row r="30" spans="1:22" x14ac:dyDescent="0.3">
      <c r="A30" s="32"/>
      <c r="B30" s="32" t="s">
        <v>4</v>
      </c>
      <c r="C30" s="34">
        <f>C29/COUNTA(B18:B27)</f>
        <v>0.6</v>
      </c>
      <c r="D30" s="34">
        <f>D29/COUNTA($B$18:$B$27)</f>
        <v>0.7</v>
      </c>
      <c r="E30" s="34">
        <f>E29/COUNTA($B$18:$B$27)</f>
        <v>0.8</v>
      </c>
      <c r="F30" s="34">
        <f>F29/COUNTA($B$18:$B$27)</f>
        <v>0.6</v>
      </c>
      <c r="G30" s="34">
        <f>G29/COUNTA($B$18:$B$27)</f>
        <v>0.6</v>
      </c>
      <c r="H30" s="34">
        <f>H29/COUNTA($B$18:$B$27)</f>
        <v>0.6</v>
      </c>
      <c r="I30" s="34">
        <f>I29/COUNTA($B$18:$B$27)</f>
        <v>1</v>
      </c>
      <c r="J30" s="34">
        <f>J29/COUNTA($B$18:$B$27)</f>
        <v>0.8</v>
      </c>
      <c r="K30" s="34">
        <f>K29/COUNTA($B$18:$B$27)</f>
        <v>0.6</v>
      </c>
      <c r="L30" s="34">
        <f>L29/COUNTA($B$18:$B$27)</f>
        <v>0.7</v>
      </c>
      <c r="M30" s="33"/>
      <c r="N30" s="38"/>
      <c r="O30" s="38"/>
      <c r="P30" s="38"/>
      <c r="Q30" s="38"/>
    </row>
    <row r="31" spans="1:22" s="7" customFormat="1" ht="13.8" customHeight="1" x14ac:dyDescent="0.3">
      <c r="A31" s="32"/>
      <c r="B31" s="32" t="s">
        <v>14</v>
      </c>
      <c r="C31" s="32">
        <f>COUNTIF(C18:C27,"Y")</f>
        <v>6</v>
      </c>
      <c r="D31" s="32">
        <f t="shared" ref="D31:L31" si="4">COUNTIF(D18:D27,"Y")</f>
        <v>7</v>
      </c>
      <c r="E31" s="32">
        <f t="shared" si="4"/>
        <v>8</v>
      </c>
      <c r="F31" s="32">
        <f t="shared" si="4"/>
        <v>6</v>
      </c>
      <c r="G31" s="32">
        <f t="shared" si="4"/>
        <v>6</v>
      </c>
      <c r="H31" s="32">
        <f t="shared" si="4"/>
        <v>6</v>
      </c>
      <c r="I31" s="32">
        <f t="shared" si="4"/>
        <v>10</v>
      </c>
      <c r="J31" s="32">
        <f t="shared" si="4"/>
        <v>8</v>
      </c>
      <c r="K31" s="32">
        <f t="shared" si="4"/>
        <v>6</v>
      </c>
      <c r="L31" s="32">
        <f t="shared" si="4"/>
        <v>7</v>
      </c>
      <c r="M31" s="32"/>
      <c r="N31" s="37"/>
      <c r="O31" s="37"/>
      <c r="P31" s="37"/>
      <c r="Q31" s="37"/>
    </row>
    <row r="32" spans="1:22" x14ac:dyDescent="0.3">
      <c r="A32" s="33"/>
      <c r="B32" s="32" t="s">
        <v>15</v>
      </c>
      <c r="C32" s="33">
        <f>COUNTIF(C18:C27,"N")+COUNTBLANK(C18:C27)</f>
        <v>4</v>
      </c>
      <c r="D32" s="33">
        <f t="shared" ref="D32:L32" si="5">COUNTIF(D18:D27,"N")+COUNTBLANK(D18:D27)</f>
        <v>3</v>
      </c>
      <c r="E32" s="33">
        <f t="shared" si="5"/>
        <v>2</v>
      </c>
      <c r="F32" s="33">
        <f t="shared" si="5"/>
        <v>4</v>
      </c>
      <c r="G32" s="33">
        <f t="shared" si="5"/>
        <v>4</v>
      </c>
      <c r="H32" s="33">
        <f t="shared" si="5"/>
        <v>4</v>
      </c>
      <c r="I32" s="33">
        <f t="shared" si="5"/>
        <v>0</v>
      </c>
      <c r="J32" s="33">
        <f t="shared" si="5"/>
        <v>2</v>
      </c>
      <c r="K32" s="33">
        <f t="shared" si="5"/>
        <v>4</v>
      </c>
      <c r="L32" s="33">
        <f t="shared" si="5"/>
        <v>3</v>
      </c>
      <c r="M32" s="33"/>
      <c r="N32" s="38"/>
      <c r="O32" s="38"/>
      <c r="P32" s="38"/>
      <c r="Q32" s="38"/>
    </row>
    <row r="33" spans="1:17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8"/>
      <c r="O33" s="38"/>
      <c r="P33" s="38"/>
      <c r="Q33" s="38"/>
    </row>
    <row r="34" spans="1:17" x14ac:dyDescent="0.3">
      <c r="A34" s="33"/>
      <c r="B34" s="32" t="s">
        <v>18</v>
      </c>
      <c r="C34" s="33">
        <f>SUM(C31:I31)</f>
        <v>49</v>
      </c>
      <c r="D34" s="35"/>
      <c r="E34" s="35"/>
      <c r="F34" s="33"/>
      <c r="G34" s="33"/>
      <c r="H34" s="33"/>
      <c r="I34" s="33"/>
      <c r="J34" s="33"/>
      <c r="K34" s="33"/>
      <c r="L34" s="33"/>
      <c r="M34" s="33"/>
      <c r="N34" s="38"/>
      <c r="O34" s="38"/>
      <c r="P34" s="38"/>
      <c r="Q34" s="38"/>
    </row>
    <row r="35" spans="1:17" x14ac:dyDescent="0.3">
      <c r="A35" s="33"/>
      <c r="B35" s="32" t="s">
        <v>16</v>
      </c>
      <c r="C35" s="33">
        <f>SUM(C32:I32)</f>
        <v>21</v>
      </c>
      <c r="D35" s="35"/>
      <c r="E35" s="35"/>
      <c r="F35" s="33"/>
      <c r="G35" s="33"/>
      <c r="H35" s="33"/>
      <c r="I35" s="33"/>
      <c r="J35" s="33"/>
      <c r="K35" s="33"/>
      <c r="L35" s="33"/>
      <c r="M35" s="33"/>
      <c r="N35" s="38"/>
      <c r="O35" s="38"/>
      <c r="P35" s="38"/>
      <c r="Q35" s="38"/>
    </row>
    <row r="36" spans="1:17" x14ac:dyDescent="0.3">
      <c r="A36" s="33"/>
      <c r="B36" s="32" t="s">
        <v>19</v>
      </c>
      <c r="C36" s="36">
        <f>SUM(J31:L31)</f>
        <v>21</v>
      </c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8"/>
      <c r="O36" s="38"/>
      <c r="P36" s="38"/>
      <c r="Q36" s="38"/>
    </row>
    <row r="37" spans="1:17" x14ac:dyDescent="0.3">
      <c r="A37" s="33"/>
      <c r="B37" s="32" t="s">
        <v>17</v>
      </c>
      <c r="C37" s="33">
        <f>SUM(J32:L32)</f>
        <v>9</v>
      </c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8"/>
      <c r="O37" s="38"/>
      <c r="P37" s="38"/>
      <c r="Q37" s="38"/>
    </row>
    <row r="38" spans="1:17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8"/>
      <c r="O38" s="38"/>
      <c r="P38" s="38"/>
      <c r="Q38" s="38"/>
    </row>
    <row r="39" spans="1:17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8"/>
      <c r="O39" s="38"/>
      <c r="P39" s="38"/>
      <c r="Q39" s="38"/>
    </row>
    <row r="40" spans="1:17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7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</row>
    <row r="42" spans="1:17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</row>
  </sheetData>
  <mergeCells count="6">
    <mergeCell ref="R20:T21"/>
    <mergeCell ref="A1:U2"/>
    <mergeCell ref="D34:E34"/>
    <mergeCell ref="D35:E35"/>
    <mergeCell ref="R17:T17"/>
    <mergeCell ref="R25:S25"/>
  </mergeCells>
  <conditionalFormatting sqref="C18:L27">
    <cfRule type="cellIs" dxfId="4" priority="5" operator="equal">
      <formula>"Y"</formula>
    </cfRule>
    <cfRule type="cellIs" dxfId="3" priority="6" operator="equal">
      <formula>"N"</formula>
    </cfRule>
  </conditionalFormatting>
  <conditionalFormatting sqref="O18:O27">
    <cfRule type="expression" dxfId="2" priority="2">
      <formula>O18=MAX($O$18:$O$27)</formula>
    </cfRule>
  </conditionalFormatting>
  <conditionalFormatting sqref="O18:P27">
    <cfRule type="top10" dxfId="1" priority="3" rank="1"/>
    <cfRule type="top10" dxfId="0" priority="4" rank="1"/>
  </conditionalFormatting>
  <hyperlinks>
    <hyperlink ref="S26" r:id="rId1" xr:uid="{A07C784D-5D17-4DA8-A595-A1E38AA30039}"/>
    <hyperlink ref="S27" r:id="rId2" xr:uid="{C40099F1-257C-491F-ACA2-E5B194BB58AD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salunke</dc:creator>
  <cp:lastModifiedBy>aditya salunke</cp:lastModifiedBy>
  <dcterms:created xsi:type="dcterms:W3CDTF">2026-07-21T17:10:43Z</dcterms:created>
  <dcterms:modified xsi:type="dcterms:W3CDTF">2026-07-25T17:22:04Z</dcterms:modified>
</cp:coreProperties>
</file>